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C\A\Altium\Du an\2026\DMRobot\DMRobot\Project Outputs for DMRobot\Bill\"/>
    </mc:Choice>
  </mc:AlternateContent>
  <xr:revisionPtr revIDLastSave="0" documentId="13_ncr:1_{E41E4DC9-7C26-48DD-AE4A-AD1FDF157144}" xr6:coauthVersionLast="47" xr6:coauthVersionMax="47" xr10:uidLastSave="{00000000-0000-0000-0000-000000000000}"/>
  <bookViews>
    <workbookView xWindow="-120" yWindow="-120" windowWidth="38640" windowHeight="21120" xr2:uid="{490FD556-B4C7-4828-A2D1-BE4170B53F33}"/>
  </bookViews>
  <sheets>
    <sheet name="DSACH" sheetId="1" r:id="rId1"/>
  </sheets>
  <definedNames>
    <definedName name="_xlnm.Print_Titles" localSheetId="0">DSACH!$1:$1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1" l="1"/>
</calcChain>
</file>

<file path=xl/sharedStrings.xml><?xml version="1.0" encoding="utf-8"?>
<sst xmlns="http://schemas.openxmlformats.org/spreadsheetml/2006/main" count="260" uniqueCount="185">
  <si>
    <t>Comment</t>
  </si>
  <si>
    <t>Description</t>
  </si>
  <si>
    <t>Designator</t>
  </si>
  <si>
    <t>Footprint</t>
  </si>
  <si>
    <t>LibRef</t>
  </si>
  <si>
    <t>Quantity</t>
  </si>
  <si>
    <t>Nut Nhan 2 Chan SMD 3x6x2.5</t>
  </si>
  <si>
    <t>BOOT, EN, RST</t>
  </si>
  <si>
    <t>cong tac bap benh</t>
  </si>
  <si>
    <t/>
  </si>
  <si>
    <t>BT1</t>
  </si>
  <si>
    <t>CONG TAC BAP BENH</t>
  </si>
  <si>
    <t>104</t>
  </si>
  <si>
    <t>Dán</t>
  </si>
  <si>
    <t>C1, C6, C8, C10, C16, C17, C20, C22, C23, C25, C26, C27, C28, C29, C30, C33, C35</t>
  </si>
  <si>
    <t>tu 0805</t>
  </si>
  <si>
    <t>Tu 0805 104 50V 10%</t>
  </si>
  <si>
    <t>22uf</t>
  </si>
  <si>
    <t>C2</t>
  </si>
  <si>
    <t>Tu 0805 222 50V 10%</t>
  </si>
  <si>
    <t>100uF</t>
  </si>
  <si>
    <t>C3</t>
  </si>
  <si>
    <t>tu tantalum smd7343</t>
  </si>
  <si>
    <t>Tu tantalum 100uF 50V SMD7343</t>
  </si>
  <si>
    <t>C4, C5</t>
  </si>
  <si>
    <t>tu nhom 6.3 (d)</t>
  </si>
  <si>
    <t>Tu Nhom 100uF 25V</t>
  </si>
  <si>
    <t>103</t>
  </si>
  <si>
    <t>C7</t>
  </si>
  <si>
    <t>106</t>
  </si>
  <si>
    <t>C9, C18, C19, C21</t>
  </si>
  <si>
    <t>Tu 0805 106 16V 10%</t>
  </si>
  <si>
    <t>105</t>
  </si>
  <si>
    <t>C11</t>
  </si>
  <si>
    <t>Tu 0805 105 50V 10%</t>
  </si>
  <si>
    <t>102</t>
  </si>
  <si>
    <t>C12</t>
  </si>
  <si>
    <t>Tu 0805 102 50V 10%</t>
  </si>
  <si>
    <t>332</t>
  </si>
  <si>
    <t>C13</t>
  </si>
  <si>
    <t>Tu 0805 332 50V 10%</t>
  </si>
  <si>
    <t>226</t>
  </si>
  <si>
    <t>C14, C15</t>
  </si>
  <si>
    <t>tu 1206</t>
  </si>
  <si>
    <t>Tu 1206 226 16V 20%</t>
  </si>
  <si>
    <t>22uF</t>
  </si>
  <si>
    <t>C24, C34</t>
  </si>
  <si>
    <t>tu nhom 6.3 (D)</t>
  </si>
  <si>
    <t>Tu Nhom 22uF 25V</t>
  </si>
  <si>
    <t>10pF</t>
  </si>
  <si>
    <t>C31, C32</t>
  </si>
  <si>
    <t>Tu 0805 10pF 50V 10%</t>
  </si>
  <si>
    <t>BZT52H-C3V3</t>
  </si>
  <si>
    <t>Zener Diode</t>
  </si>
  <si>
    <t>D1</t>
  </si>
  <si>
    <t>SOD123</t>
  </si>
  <si>
    <t>Diode Zener</t>
  </si>
  <si>
    <t>ZENER 3.3V</t>
  </si>
  <si>
    <t>D2</t>
  </si>
  <si>
    <t>SS34</t>
  </si>
  <si>
    <t>D3</t>
  </si>
  <si>
    <t>DIODE SMA</t>
  </si>
  <si>
    <t>Diode SS34 ( 1N5822 )</t>
  </si>
  <si>
    <t>LI0805H121R-10</t>
  </si>
  <si>
    <t>EMI Ferrite Chip Bead, 0805, 800MA, 120Ohms @100MHz, DCR Max 0.150Ohm | Laird Performance Materials LI0805H121R-10</t>
  </si>
  <si>
    <t>E1</t>
  </si>
  <si>
    <t>FB_LI0805H121R-10</t>
  </si>
  <si>
    <t>ENCODER</t>
  </si>
  <si>
    <t>Cắm</t>
  </si>
  <si>
    <t>ENC1, ENC2</t>
  </si>
  <si>
    <t>XH2.54M-4</t>
  </si>
  <si>
    <t>Header 4P 2.54 Duc Thang</t>
  </si>
  <si>
    <t>ESP32-S3-WROOM-1-N4</t>
  </si>
  <si>
    <t>ESP</t>
  </si>
  <si>
    <t>XCVR_ESP32-S3-WROOM-1-N4</t>
  </si>
  <si>
    <t>LOADER ESSP32</t>
  </si>
  <si>
    <t>ESP_FLASH</t>
  </si>
  <si>
    <t>2A 24V</t>
  </si>
  <si>
    <t>2A 24V SMD1812</t>
  </si>
  <si>
    <t>F1</t>
  </si>
  <si>
    <t>Cau chi tu phuc hoi 2A 24V SMD1812</t>
  </si>
  <si>
    <t>MOD MPU_6050</t>
  </si>
  <si>
    <t>I1</t>
  </si>
  <si>
    <t>MOD MPU-6050</t>
  </si>
  <si>
    <t>TYPE-C-31-M-12</t>
  </si>
  <si>
    <t>USB Connectors 24 Receptacle 1 8.94*7.3mm RoHS</t>
  </si>
  <si>
    <t>J1</t>
  </si>
  <si>
    <t>HRO_TYPE-C-31-M-12</t>
  </si>
  <si>
    <t>JACK DC 5.5</t>
  </si>
  <si>
    <t>JACK DC1</t>
  </si>
  <si>
    <t>100uH - 3A SMD</t>
  </si>
  <si>
    <t>L1</t>
  </si>
  <si>
    <t>Cuon Cam 12x12x10</t>
  </si>
  <si>
    <t>CUON CAM 100uH SMD</t>
  </si>
  <si>
    <t>LED 0805</t>
  </si>
  <si>
    <t>L2, L3</t>
  </si>
  <si>
    <t>LED-0805-Red</t>
  </si>
  <si>
    <t>LED 0805 Do</t>
  </si>
  <si>
    <t>L4</t>
  </si>
  <si>
    <t>LED-0805-Green</t>
  </si>
  <si>
    <t>LED 0805 Xanh La</t>
  </si>
  <si>
    <t>L5</t>
  </si>
  <si>
    <t>LED-0805-Yellow</t>
  </si>
  <si>
    <t>LED 0805 Vang</t>
  </si>
  <si>
    <t>MOTOR</t>
  </si>
  <si>
    <t>M1, M2</t>
  </si>
  <si>
    <t>XH2.54M-2</t>
  </si>
  <si>
    <t>Header 2P 2.54 Duc Thang</t>
  </si>
  <si>
    <t>IRF4905STRLPBF</t>
  </si>
  <si>
    <t>Mosfet P</t>
  </si>
  <si>
    <t>Q1</t>
  </si>
  <si>
    <t>TO-263 (D2PAK)</t>
  </si>
  <si>
    <t>SS8050-G</t>
  </si>
  <si>
    <t>NPN TRANSISTOR 1.5A 40V SOT-23 R</t>
  </si>
  <si>
    <t>Q2, Q3</t>
  </si>
  <si>
    <t>FP-SS8050-G-MFG</t>
  </si>
  <si>
    <t>CMP-20235-000001-1</t>
  </si>
  <si>
    <t>47k</t>
  </si>
  <si>
    <t>R1</t>
  </si>
  <si>
    <t>tro smd 0603</t>
  </si>
  <si>
    <t>Tro 0603 5% 47k</t>
  </si>
  <si>
    <t>100k</t>
  </si>
  <si>
    <t>R2, R4</t>
  </si>
  <si>
    <t>tro smd 0805</t>
  </si>
  <si>
    <t>Tro 0805 5% 100k</t>
  </si>
  <si>
    <t>10k</t>
  </si>
  <si>
    <t>R3, R5, R10, R11, R12, R21, R22, R23, R29</t>
  </si>
  <si>
    <t>Tro 0805 5% 10k</t>
  </si>
  <si>
    <t>22k</t>
  </si>
  <si>
    <t>R6</t>
  </si>
  <si>
    <t>Tro 0805 5% 22k</t>
  </si>
  <si>
    <t>220</t>
  </si>
  <si>
    <t>R7</t>
  </si>
  <si>
    <t>Tro 0805 5% 220R</t>
  </si>
  <si>
    <t>3.9k</t>
  </si>
  <si>
    <t>R8</t>
  </si>
  <si>
    <t>Tro SMD 0805</t>
  </si>
  <si>
    <t>Tro 0805 5% 3.9k</t>
  </si>
  <si>
    <t>6.8k</t>
  </si>
  <si>
    <t>R9</t>
  </si>
  <si>
    <t>Tro 0805 5% 6.8k</t>
  </si>
  <si>
    <t>2.2k</t>
  </si>
  <si>
    <t>R13, R14, R15</t>
  </si>
  <si>
    <t>Tro 0805 5% 2.2k</t>
  </si>
  <si>
    <t>0R</t>
  </si>
  <si>
    <t>R16, R17, R24, R25, R26, R27</t>
  </si>
  <si>
    <t>Tro 0805 5% 0R</t>
  </si>
  <si>
    <t>5.1k</t>
  </si>
  <si>
    <t>R18, R19</t>
  </si>
  <si>
    <t>Tro 0805 1% 5.1k</t>
  </si>
  <si>
    <t>30k</t>
  </si>
  <si>
    <t>R20, R28</t>
  </si>
  <si>
    <t>Tro 0805 5% 30k</t>
  </si>
  <si>
    <t>STM32F100xx_LQFP64</t>
  </si>
  <si>
    <t>STM</t>
  </si>
  <si>
    <t>STM32_LQFP64</t>
  </si>
  <si>
    <t>STM_FLASH</t>
  </si>
  <si>
    <t>MP2307DN-HW-LF-P</t>
  </si>
  <si>
    <t>3A 23V 340KHz Synchronous Rectified Step-Down Converter</t>
  </si>
  <si>
    <t>U1</t>
  </si>
  <si>
    <t>IC8_MP2307_MNP</t>
  </si>
  <si>
    <t>DRV8871DDARQ1</t>
  </si>
  <si>
    <t>Unipolar Motor Driver NMOS PWM 8-SO PowerPad</t>
  </si>
  <si>
    <t>U2, U4</t>
  </si>
  <si>
    <t>SOIC8_50_328_25X90_SMT</t>
  </si>
  <si>
    <t>IC_DRV8871DDARQ1</t>
  </si>
  <si>
    <t>CH340C</t>
  </si>
  <si>
    <t>USB Bridge, USB to UART USB 2.0 UART Interface</t>
  </si>
  <si>
    <t>U3</t>
  </si>
  <si>
    <t>SOIC16_50_284_25X90_SMT</t>
  </si>
  <si>
    <t>IC_CH340C</t>
  </si>
  <si>
    <t>8Mhz</t>
  </si>
  <si>
    <t>Crystal SMD 24MHz 10PPM 7pF 3225</t>
  </si>
  <si>
    <t>X1</t>
  </si>
  <si>
    <t>XTAL_3225</t>
  </si>
  <si>
    <t>TSX-3225_24.0000MF15X-AC</t>
  </si>
  <si>
    <t>oled</t>
  </si>
  <si>
    <t>icdayroi</t>
  </si>
  <si>
    <t>GA25-370 Encoder Động Cơ Giảm Tốc 130rpm</t>
  </si>
  <si>
    <t>mạch in</t>
  </si>
  <si>
    <t>Giá</t>
  </si>
  <si>
    <t>Chỗ mua khác</t>
  </si>
  <si>
    <t>Có sẵn</t>
  </si>
  <si>
    <t>shopee</t>
  </si>
  <si>
    <t>Giá 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</si>
</sst>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3" fontId="0" fillId="0" borderId="0" xfId="0" applyNumberFormat="1"/>
    <xf numFmtId="0" fontId="0" fillId="0" borderId="3" xfId="0" applyBorder="1"/>
    <xf numFmtId="0" fontId="0" fillId="3" borderId="1" xfId="0" quotePrefix="1" applyFill="1" applyBorder="1"/>
    <xf numFmtId="0" fontId="0" fillId="3" borderId="1" xfId="0" applyFill="1" applyBorder="1"/>
    <xf numFmtId="3" fontId="0" fillId="3" borderId="0" xfId="0" applyNumberFormat="1" applyFill="1"/>
    <xf numFmtId="0" fontId="0" fillId="3" borderId="0" xfId="0" applyFill="1"/>
    <xf numFmtId="0" fontId="0" fillId="4" borderId="1" xfId="0" quotePrefix="1" applyFill="1" applyBorder="1"/>
    <xf numFmtId="0" fontId="0" fillId="4" borderId="1" xfId="0" applyFill="1" applyBorder="1"/>
    <xf numFmtId="0" fontId="0" fillId="4" borderId="0" xfId="0" applyFill="1"/>
    <xf numFmtId="0" fontId="0" fillId="5" borderId="2" xfId="0" applyFill="1" applyBorder="1"/>
    <xf numFmtId="0" fontId="0" fillId="5" borderId="0" xfId="0" applyFill="1"/>
    <xf numFmtId="3" fontId="0" fillId="5" borderId="0" xfId="0" applyNumberFormat="1" applyFill="1"/>
    <xf numFmtId="0" fontId="0" fillId="0" borderId="2" xfId="0" applyBorder="1"/>
    <xf numFmtId="3" fontId="0" fillId="4" borderId="0" xfId="0" applyNumberFormat="1" applyFill="1"/>
    <xf numFmtId="0" fontId="0" fillId="6" borderId="1" xfId="0" quotePrefix="1" applyFill="1" applyBorder="1"/>
    <xf numFmtId="0" fontId="0" fillId="6" borderId="1" xfId="0" applyFill="1" applyBorder="1"/>
    <xf numFmtId="3" fontId="0" fillId="6" borderId="0" xfId="0" applyNumberFormat="1" applyFill="1"/>
    <xf numFmtId="0" fontId="0" fillId="6" borderId="0" xfId="0" applyFill="1"/>
    <xf numFmtId="0" fontId="0" fillId="4" borderId="3" xfId="0" applyFill="1" applyBorder="1"/>
    <xf numFmtId="0" fontId="0" fillId="6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E7405-24E6-43E8-BCD2-66B5CC050321}">
  <dimension ref="A1:J54"/>
  <sheetViews>
    <sheetView tabSelected="1" topLeftCell="A16" zoomScale="160" zoomScaleNormal="160" workbookViewId="0">
      <selection activeCell="B44" sqref="B44"/>
    </sheetView>
  </sheetViews>
  <sheetFormatPr defaultRowHeight="15" x14ac:dyDescent="0.25"/>
  <cols>
    <col min="1" max="1" width="40" customWidth="1"/>
    <col min="2" max="2" width="31.28515625" customWidth="1"/>
    <col min="3" max="3" width="24.5703125" customWidth="1"/>
    <col min="4" max="4" width="27.28515625" customWidth="1"/>
    <col min="5" max="5" width="32" customWidth="1"/>
    <col min="6" max="6" width="19.7109375" customWidth="1"/>
    <col min="9" max="9" width="13.85546875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180</v>
      </c>
      <c r="H1" s="4" t="s">
        <v>184</v>
      </c>
      <c r="I1" s="4" t="s">
        <v>181</v>
      </c>
      <c r="J1" s="4" t="s">
        <v>182</v>
      </c>
    </row>
    <row r="2" spans="1:10" s="13" customFormat="1" x14ac:dyDescent="0.25">
      <c r="A2" s="11" t="s">
        <v>6</v>
      </c>
      <c r="B2" s="11" t="s">
        <v>6</v>
      </c>
      <c r="C2" s="11" t="s">
        <v>7</v>
      </c>
      <c r="D2" s="11" t="s">
        <v>6</v>
      </c>
      <c r="E2" s="11" t="s">
        <v>6</v>
      </c>
      <c r="F2" s="12">
        <v>3</v>
      </c>
      <c r="G2" s="18">
        <v>2500</v>
      </c>
      <c r="H2" s="18">
        <v>2500</v>
      </c>
    </row>
    <row r="3" spans="1:10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">
        <v>8</v>
      </c>
      <c r="F3" s="1">
        <v>1</v>
      </c>
      <c r="G3" s="5">
        <v>4000</v>
      </c>
      <c r="H3" s="5">
        <v>4000</v>
      </c>
    </row>
    <row r="4" spans="1:10" s="13" customFormat="1" x14ac:dyDescent="0.25">
      <c r="A4" s="11" t="s">
        <v>12</v>
      </c>
      <c r="B4" s="11" t="s">
        <v>13</v>
      </c>
      <c r="C4" s="11" t="s">
        <v>14</v>
      </c>
      <c r="D4" s="11" t="s">
        <v>15</v>
      </c>
      <c r="E4" s="11" t="s">
        <v>16</v>
      </c>
      <c r="F4" s="12">
        <v>17</v>
      </c>
      <c r="G4" s="18">
        <v>3800</v>
      </c>
      <c r="H4" s="18">
        <v>3800</v>
      </c>
    </row>
    <row r="5" spans="1:10" s="13" customFormat="1" x14ac:dyDescent="0.25">
      <c r="A5" s="11" t="s">
        <v>17</v>
      </c>
      <c r="B5" s="11" t="s">
        <v>13</v>
      </c>
      <c r="C5" s="11" t="s">
        <v>18</v>
      </c>
      <c r="D5" s="11" t="s">
        <v>15</v>
      </c>
      <c r="E5" s="11" t="s">
        <v>19</v>
      </c>
      <c r="F5" s="12">
        <v>1</v>
      </c>
      <c r="G5" s="18">
        <v>1600</v>
      </c>
      <c r="H5" s="18">
        <v>1600</v>
      </c>
    </row>
    <row r="6" spans="1:10" x14ac:dyDescent="0.25">
      <c r="A6" s="2" t="s">
        <v>20</v>
      </c>
      <c r="B6" s="2" t="s">
        <v>13</v>
      </c>
      <c r="C6" s="2" t="s">
        <v>21</v>
      </c>
      <c r="D6" s="2" t="s">
        <v>22</v>
      </c>
      <c r="E6" s="2" t="s">
        <v>23</v>
      </c>
      <c r="F6" s="1">
        <v>1</v>
      </c>
      <c r="G6" s="5">
        <v>10000</v>
      </c>
      <c r="H6" s="5">
        <v>20000</v>
      </c>
    </row>
    <row r="7" spans="1:10" x14ac:dyDescent="0.25">
      <c r="A7" s="2" t="s">
        <v>20</v>
      </c>
      <c r="B7" s="2" t="s">
        <v>13</v>
      </c>
      <c r="C7" s="2" t="s">
        <v>24</v>
      </c>
      <c r="D7" s="2" t="s">
        <v>25</v>
      </c>
      <c r="E7" s="2" t="s">
        <v>26</v>
      </c>
      <c r="F7" s="1">
        <v>2</v>
      </c>
      <c r="G7" s="5">
        <v>6000</v>
      </c>
      <c r="H7" s="5">
        <v>6000</v>
      </c>
    </row>
    <row r="8" spans="1:10" s="13" customFormat="1" x14ac:dyDescent="0.25">
      <c r="A8" s="11" t="s">
        <v>27</v>
      </c>
      <c r="B8" s="11" t="s">
        <v>13</v>
      </c>
      <c r="C8" s="11" t="s">
        <v>28</v>
      </c>
      <c r="D8" s="11" t="s">
        <v>15</v>
      </c>
      <c r="E8" s="11" t="s">
        <v>16</v>
      </c>
      <c r="F8" s="12">
        <v>1</v>
      </c>
      <c r="G8" s="18">
        <v>3800</v>
      </c>
      <c r="H8" s="18">
        <v>3800</v>
      </c>
    </row>
    <row r="9" spans="1:10" s="13" customFormat="1" x14ac:dyDescent="0.25">
      <c r="A9" s="11" t="s">
        <v>29</v>
      </c>
      <c r="B9" s="11" t="s">
        <v>13</v>
      </c>
      <c r="C9" s="11" t="s">
        <v>30</v>
      </c>
      <c r="D9" s="11" t="s">
        <v>15</v>
      </c>
      <c r="E9" s="11" t="s">
        <v>31</v>
      </c>
      <c r="F9" s="12">
        <v>4</v>
      </c>
      <c r="G9" s="18">
        <v>2000</v>
      </c>
      <c r="H9" s="18">
        <v>5000</v>
      </c>
    </row>
    <row r="10" spans="1:10" s="13" customFormat="1" x14ac:dyDescent="0.25">
      <c r="A10" s="11" t="s">
        <v>32</v>
      </c>
      <c r="B10" s="11" t="s">
        <v>13</v>
      </c>
      <c r="C10" s="11" t="s">
        <v>33</v>
      </c>
      <c r="D10" s="11" t="s">
        <v>15</v>
      </c>
      <c r="E10" s="11" t="s">
        <v>34</v>
      </c>
      <c r="F10" s="12">
        <v>1</v>
      </c>
      <c r="G10" s="18">
        <v>8000</v>
      </c>
      <c r="H10" s="18">
        <v>7000</v>
      </c>
    </row>
    <row r="11" spans="1:10" s="13" customFormat="1" x14ac:dyDescent="0.25">
      <c r="A11" s="11" t="s">
        <v>35</v>
      </c>
      <c r="B11" s="11" t="s">
        <v>13</v>
      </c>
      <c r="C11" s="11" t="s">
        <v>36</v>
      </c>
      <c r="D11" s="11" t="s">
        <v>15</v>
      </c>
      <c r="E11" s="11" t="s">
        <v>37</v>
      </c>
      <c r="F11" s="12">
        <v>1</v>
      </c>
      <c r="G11" s="18">
        <v>6000</v>
      </c>
      <c r="H11" s="18">
        <v>6000</v>
      </c>
    </row>
    <row r="12" spans="1:10" s="13" customFormat="1" x14ac:dyDescent="0.25">
      <c r="A12" s="11" t="s">
        <v>38</v>
      </c>
      <c r="B12" s="11" t="s">
        <v>13</v>
      </c>
      <c r="C12" s="11" t="s">
        <v>39</v>
      </c>
      <c r="D12" s="11" t="s">
        <v>15</v>
      </c>
      <c r="E12" s="11" t="s">
        <v>40</v>
      </c>
      <c r="F12" s="12">
        <v>1</v>
      </c>
      <c r="G12" s="18">
        <v>3800</v>
      </c>
      <c r="H12" s="18">
        <v>3800</v>
      </c>
    </row>
    <row r="13" spans="1:10" s="13" customFormat="1" x14ac:dyDescent="0.25">
      <c r="A13" s="11" t="s">
        <v>41</v>
      </c>
      <c r="B13" s="11" t="s">
        <v>13</v>
      </c>
      <c r="C13" s="11" t="s">
        <v>42</v>
      </c>
      <c r="D13" s="11" t="s">
        <v>43</v>
      </c>
      <c r="E13" s="11" t="s">
        <v>44</v>
      </c>
      <c r="F13" s="12">
        <v>2</v>
      </c>
      <c r="G13" s="18">
        <v>7600</v>
      </c>
      <c r="H13" s="18">
        <v>7600</v>
      </c>
    </row>
    <row r="14" spans="1:10" x14ac:dyDescent="0.25">
      <c r="A14" s="2" t="s">
        <v>45</v>
      </c>
      <c r="B14" s="2" t="s">
        <v>13</v>
      </c>
      <c r="C14" s="2" t="s">
        <v>46</v>
      </c>
      <c r="D14" s="2" t="s">
        <v>47</v>
      </c>
      <c r="E14" s="2" t="s">
        <v>48</v>
      </c>
      <c r="F14" s="1">
        <v>2</v>
      </c>
      <c r="G14" s="5">
        <v>3500</v>
      </c>
      <c r="H14" s="5">
        <v>4800</v>
      </c>
    </row>
    <row r="15" spans="1:10" x14ac:dyDescent="0.25">
      <c r="A15" s="2" t="s">
        <v>49</v>
      </c>
      <c r="B15" s="2" t="s">
        <v>13</v>
      </c>
      <c r="C15" s="2" t="s">
        <v>50</v>
      </c>
      <c r="D15" s="2" t="s">
        <v>15</v>
      </c>
      <c r="E15" s="2" t="s">
        <v>51</v>
      </c>
      <c r="F15" s="1">
        <v>2</v>
      </c>
      <c r="G15" s="5">
        <v>5000</v>
      </c>
      <c r="H15" s="5">
        <v>5000</v>
      </c>
    </row>
    <row r="16" spans="1:10" s="10" customFormat="1" x14ac:dyDescent="0.25">
      <c r="A16" s="7" t="s">
        <v>52</v>
      </c>
      <c r="B16" s="7" t="s">
        <v>53</v>
      </c>
      <c r="C16" s="7" t="s">
        <v>54</v>
      </c>
      <c r="D16" s="7" t="s">
        <v>55</v>
      </c>
      <c r="E16" s="7" t="s">
        <v>56</v>
      </c>
      <c r="F16" s="8">
        <v>1</v>
      </c>
      <c r="G16" s="9">
        <v>6000</v>
      </c>
      <c r="H16" s="9">
        <v>4000</v>
      </c>
    </row>
    <row r="17" spans="1:9" s="10" customFormat="1" x14ac:dyDescent="0.25">
      <c r="A17" s="7" t="s">
        <v>57</v>
      </c>
      <c r="B17" s="7" t="s">
        <v>53</v>
      </c>
      <c r="C17" s="7" t="s">
        <v>58</v>
      </c>
      <c r="D17" s="7" t="s">
        <v>55</v>
      </c>
      <c r="E17" s="7" t="s">
        <v>56</v>
      </c>
      <c r="F17" s="8">
        <v>1</v>
      </c>
      <c r="G17" s="9">
        <v>6000</v>
      </c>
    </row>
    <row r="18" spans="1:9" x14ac:dyDescent="0.25">
      <c r="A18" s="2" t="s">
        <v>59</v>
      </c>
      <c r="B18" s="2" t="s">
        <v>13</v>
      </c>
      <c r="C18" s="2" t="s">
        <v>60</v>
      </c>
      <c r="D18" s="2" t="s">
        <v>61</v>
      </c>
      <c r="E18" s="2" t="s">
        <v>62</v>
      </c>
      <c r="F18" s="1">
        <v>1</v>
      </c>
      <c r="G18" s="5">
        <v>2000</v>
      </c>
      <c r="H18" s="5">
        <v>5000</v>
      </c>
    </row>
    <row r="19" spans="1:9" s="13" customFormat="1" x14ac:dyDescent="0.25">
      <c r="A19" s="11" t="s">
        <v>63</v>
      </c>
      <c r="B19" s="11" t="s">
        <v>64</v>
      </c>
      <c r="C19" s="11" t="s">
        <v>65</v>
      </c>
      <c r="D19" s="11" t="s">
        <v>66</v>
      </c>
      <c r="E19" s="11" t="s">
        <v>63</v>
      </c>
      <c r="F19" s="12">
        <v>1</v>
      </c>
      <c r="G19" s="18">
        <v>8000</v>
      </c>
      <c r="H19" s="18">
        <v>8000</v>
      </c>
    </row>
    <row r="20" spans="1:9" s="13" customFormat="1" ht="15.75" customHeight="1" x14ac:dyDescent="0.25">
      <c r="A20" s="11" t="s">
        <v>67</v>
      </c>
      <c r="B20" s="11" t="s">
        <v>68</v>
      </c>
      <c r="C20" s="11" t="s">
        <v>69</v>
      </c>
      <c r="D20" s="11" t="s">
        <v>70</v>
      </c>
      <c r="E20" s="11" t="s">
        <v>71</v>
      </c>
      <c r="F20" s="12">
        <v>2</v>
      </c>
    </row>
    <row r="21" spans="1:9" s="13" customFormat="1" x14ac:dyDescent="0.25">
      <c r="A21" s="11" t="s">
        <v>72</v>
      </c>
      <c r="B21" s="11" t="s">
        <v>9</v>
      </c>
      <c r="C21" s="11" t="s">
        <v>73</v>
      </c>
      <c r="D21" s="11" t="s">
        <v>74</v>
      </c>
      <c r="E21" s="11" t="s">
        <v>72</v>
      </c>
      <c r="F21" s="12">
        <v>1</v>
      </c>
    </row>
    <row r="22" spans="1:9" s="13" customFormat="1" x14ac:dyDescent="0.25">
      <c r="A22" s="11" t="s">
        <v>75</v>
      </c>
      <c r="B22" s="11" t="s">
        <v>68</v>
      </c>
      <c r="C22" s="11" t="s">
        <v>76</v>
      </c>
      <c r="D22" s="11" t="s">
        <v>70</v>
      </c>
      <c r="E22" s="11" t="s">
        <v>71</v>
      </c>
      <c r="F22" s="12">
        <v>1</v>
      </c>
    </row>
    <row r="23" spans="1:9" s="22" customFormat="1" x14ac:dyDescent="0.25">
      <c r="A23" s="19" t="s">
        <v>77</v>
      </c>
      <c r="B23" s="19" t="s">
        <v>78</v>
      </c>
      <c r="C23" s="19" t="s">
        <v>79</v>
      </c>
      <c r="D23" s="19" t="s">
        <v>80</v>
      </c>
      <c r="E23" s="19" t="s">
        <v>80</v>
      </c>
      <c r="F23" s="20">
        <v>1</v>
      </c>
      <c r="G23" s="21">
        <v>3000</v>
      </c>
      <c r="H23" s="21">
        <v>6000</v>
      </c>
    </row>
    <row r="24" spans="1:9" s="13" customFormat="1" x14ac:dyDescent="0.25">
      <c r="A24" s="11" t="s">
        <v>81</v>
      </c>
      <c r="B24" s="11" t="s">
        <v>9</v>
      </c>
      <c r="C24" s="11" t="s">
        <v>82</v>
      </c>
      <c r="D24" s="11" t="s">
        <v>83</v>
      </c>
      <c r="E24" s="11" t="s">
        <v>81</v>
      </c>
      <c r="F24" s="12">
        <v>1</v>
      </c>
    </row>
    <row r="25" spans="1:9" x14ac:dyDescent="0.25">
      <c r="A25" s="2" t="s">
        <v>84</v>
      </c>
      <c r="B25" s="2" t="s">
        <v>85</v>
      </c>
      <c r="C25" s="2" t="s">
        <v>86</v>
      </c>
      <c r="D25" s="2" t="s">
        <v>87</v>
      </c>
      <c r="E25" s="2" t="s">
        <v>84</v>
      </c>
      <c r="F25" s="1">
        <v>1</v>
      </c>
      <c r="G25" s="5">
        <v>1500</v>
      </c>
      <c r="H25" s="5">
        <v>3000</v>
      </c>
    </row>
    <row r="26" spans="1:9" s="13" customFormat="1" x14ac:dyDescent="0.25">
      <c r="A26" s="11" t="s">
        <v>88</v>
      </c>
      <c r="B26" s="11" t="s">
        <v>88</v>
      </c>
      <c r="C26" s="11" t="s">
        <v>89</v>
      </c>
      <c r="D26" s="11" t="s">
        <v>88</v>
      </c>
      <c r="E26" s="11" t="s">
        <v>88</v>
      </c>
      <c r="F26" s="12">
        <v>1</v>
      </c>
      <c r="G26" s="18">
        <v>4000</v>
      </c>
      <c r="I26" s="23"/>
    </row>
    <row r="27" spans="1:9" s="22" customFormat="1" x14ac:dyDescent="0.25">
      <c r="A27" s="19" t="s">
        <v>90</v>
      </c>
      <c r="B27" s="19" t="s">
        <v>13</v>
      </c>
      <c r="C27" s="19" t="s">
        <v>91</v>
      </c>
      <c r="D27" s="19" t="s">
        <v>92</v>
      </c>
      <c r="E27" s="19" t="s">
        <v>93</v>
      </c>
      <c r="F27" s="20">
        <v>1</v>
      </c>
      <c r="G27" s="21">
        <v>2800</v>
      </c>
      <c r="H27" s="21">
        <v>5600</v>
      </c>
      <c r="I27" s="24" t="s">
        <v>177</v>
      </c>
    </row>
    <row r="28" spans="1:9" x14ac:dyDescent="0.25">
      <c r="A28" s="2" t="s">
        <v>94</v>
      </c>
      <c r="B28" s="2" t="s">
        <v>13</v>
      </c>
      <c r="C28" s="2" t="s">
        <v>95</v>
      </c>
      <c r="D28" s="2" t="s">
        <v>96</v>
      </c>
      <c r="E28" s="2" t="s">
        <v>97</v>
      </c>
      <c r="F28" s="1">
        <v>2</v>
      </c>
      <c r="G28" s="5">
        <v>2300</v>
      </c>
      <c r="H28" s="5">
        <v>2300</v>
      </c>
    </row>
    <row r="29" spans="1:9" x14ac:dyDescent="0.25">
      <c r="A29" s="2" t="s">
        <v>94</v>
      </c>
      <c r="B29" s="2" t="s">
        <v>13</v>
      </c>
      <c r="C29" s="2" t="s">
        <v>98</v>
      </c>
      <c r="D29" s="2" t="s">
        <v>99</v>
      </c>
      <c r="E29" s="2" t="s">
        <v>100</v>
      </c>
      <c r="F29" s="1">
        <v>1</v>
      </c>
      <c r="G29" s="5">
        <v>2300</v>
      </c>
      <c r="H29" s="5">
        <v>2300</v>
      </c>
    </row>
    <row r="30" spans="1:9" x14ac:dyDescent="0.25">
      <c r="A30" s="2" t="s">
        <v>94</v>
      </c>
      <c r="B30" s="2" t="s">
        <v>13</v>
      </c>
      <c r="C30" s="2" t="s">
        <v>101</v>
      </c>
      <c r="D30" s="2" t="s">
        <v>102</v>
      </c>
      <c r="E30" s="2" t="s">
        <v>103</v>
      </c>
      <c r="F30" s="1">
        <v>1</v>
      </c>
      <c r="G30" s="5">
        <v>2500</v>
      </c>
      <c r="H30" s="5">
        <v>2500</v>
      </c>
    </row>
    <row r="31" spans="1:9" s="13" customFormat="1" x14ac:dyDescent="0.25">
      <c r="A31" s="11" t="s">
        <v>104</v>
      </c>
      <c r="B31" s="11" t="s">
        <v>68</v>
      </c>
      <c r="C31" s="11" t="s">
        <v>105</v>
      </c>
      <c r="D31" s="11" t="s">
        <v>106</v>
      </c>
      <c r="E31" s="11" t="s">
        <v>107</v>
      </c>
      <c r="F31" s="12">
        <v>2</v>
      </c>
      <c r="G31" s="18">
        <v>5600</v>
      </c>
      <c r="H31" s="18">
        <v>3800</v>
      </c>
    </row>
    <row r="32" spans="1:9" s="22" customFormat="1" x14ac:dyDescent="0.25">
      <c r="A32" s="19" t="s">
        <v>108</v>
      </c>
      <c r="B32" s="19" t="s">
        <v>109</v>
      </c>
      <c r="C32" s="19" t="s">
        <v>110</v>
      </c>
      <c r="D32" s="19" t="s">
        <v>111</v>
      </c>
      <c r="E32" s="19" t="s">
        <v>109</v>
      </c>
      <c r="F32" s="20">
        <v>1</v>
      </c>
      <c r="G32" s="21">
        <v>24000</v>
      </c>
      <c r="H32" s="21">
        <v>48000</v>
      </c>
    </row>
    <row r="33" spans="1:9" x14ac:dyDescent="0.25">
      <c r="A33" s="2" t="s">
        <v>112</v>
      </c>
      <c r="B33" s="2" t="s">
        <v>113</v>
      </c>
      <c r="C33" s="2" t="s">
        <v>114</v>
      </c>
      <c r="D33" s="2" t="s">
        <v>115</v>
      </c>
      <c r="E33" s="2" t="s">
        <v>116</v>
      </c>
      <c r="F33" s="1">
        <v>2</v>
      </c>
      <c r="G33" s="5">
        <v>3000</v>
      </c>
      <c r="H33" s="5">
        <v>6000</v>
      </c>
    </row>
    <row r="34" spans="1:9" x14ac:dyDescent="0.25">
      <c r="A34" s="2" t="s">
        <v>117</v>
      </c>
      <c r="B34" s="2" t="s">
        <v>13</v>
      </c>
      <c r="C34" s="2" t="s">
        <v>118</v>
      </c>
      <c r="D34" s="2" t="s">
        <v>119</v>
      </c>
      <c r="E34" s="2" t="s">
        <v>120</v>
      </c>
      <c r="F34" s="1">
        <v>1</v>
      </c>
      <c r="G34" s="5">
        <v>1600</v>
      </c>
      <c r="H34" s="5">
        <v>2500</v>
      </c>
    </row>
    <row r="35" spans="1:9" s="13" customFormat="1" x14ac:dyDescent="0.25">
      <c r="A35" s="11" t="s">
        <v>121</v>
      </c>
      <c r="B35" s="11" t="s">
        <v>13</v>
      </c>
      <c r="C35" s="11" t="s">
        <v>122</v>
      </c>
      <c r="D35" s="11" t="s">
        <v>123</v>
      </c>
      <c r="E35" s="11" t="s">
        <v>124</v>
      </c>
      <c r="F35" s="12">
        <v>2</v>
      </c>
      <c r="G35" s="18">
        <v>2500</v>
      </c>
      <c r="H35" s="18">
        <v>2500</v>
      </c>
    </row>
    <row r="36" spans="1:9" s="13" customFormat="1" x14ac:dyDescent="0.25">
      <c r="A36" s="11" t="s">
        <v>125</v>
      </c>
      <c r="B36" s="11" t="s">
        <v>13</v>
      </c>
      <c r="C36" s="11" t="s">
        <v>126</v>
      </c>
      <c r="D36" s="11" t="s">
        <v>123</v>
      </c>
      <c r="E36" s="11" t="s">
        <v>127</v>
      </c>
      <c r="F36" s="12">
        <v>9</v>
      </c>
      <c r="G36" s="18">
        <v>2500</v>
      </c>
      <c r="H36" s="18">
        <v>2500</v>
      </c>
    </row>
    <row r="37" spans="1:9" s="13" customFormat="1" x14ac:dyDescent="0.25">
      <c r="A37" s="11" t="s">
        <v>128</v>
      </c>
      <c r="B37" s="11" t="s">
        <v>13</v>
      </c>
      <c r="C37" s="11" t="s">
        <v>129</v>
      </c>
      <c r="D37" s="11" t="s">
        <v>123</v>
      </c>
      <c r="E37" s="11" t="s">
        <v>130</v>
      </c>
      <c r="F37" s="12">
        <v>1</v>
      </c>
      <c r="G37" s="18">
        <v>2800</v>
      </c>
      <c r="H37" s="18">
        <v>2500</v>
      </c>
    </row>
    <row r="38" spans="1:9" s="13" customFormat="1" x14ac:dyDescent="0.25">
      <c r="A38" s="11" t="s">
        <v>131</v>
      </c>
      <c r="B38" s="11" t="s">
        <v>13</v>
      </c>
      <c r="C38" s="11" t="s">
        <v>132</v>
      </c>
      <c r="D38" s="11" t="s">
        <v>123</v>
      </c>
      <c r="E38" s="11" t="s">
        <v>133</v>
      </c>
      <c r="F38" s="12">
        <v>1</v>
      </c>
      <c r="G38" s="18">
        <v>2500</v>
      </c>
      <c r="H38" s="18">
        <v>2500</v>
      </c>
    </row>
    <row r="39" spans="1:9" s="13" customFormat="1" x14ac:dyDescent="0.25">
      <c r="A39" s="11" t="s">
        <v>134</v>
      </c>
      <c r="B39" s="11" t="s">
        <v>13</v>
      </c>
      <c r="C39" s="11" t="s">
        <v>135</v>
      </c>
      <c r="D39" s="11" t="s">
        <v>136</v>
      </c>
      <c r="E39" s="11" t="s">
        <v>137</v>
      </c>
      <c r="F39" s="12">
        <v>1</v>
      </c>
      <c r="G39" s="18">
        <v>2800</v>
      </c>
      <c r="H39" s="18">
        <v>2500</v>
      </c>
    </row>
    <row r="40" spans="1:9" s="13" customFormat="1" x14ac:dyDescent="0.25">
      <c r="A40" s="11" t="s">
        <v>138</v>
      </c>
      <c r="B40" s="11" t="s">
        <v>13</v>
      </c>
      <c r="C40" s="11" t="s">
        <v>139</v>
      </c>
      <c r="D40" s="11" t="s">
        <v>123</v>
      </c>
      <c r="E40" s="11" t="s">
        <v>140</v>
      </c>
      <c r="F40" s="12">
        <v>1</v>
      </c>
      <c r="G40" s="18">
        <v>2500</v>
      </c>
      <c r="H40" s="18">
        <v>2500</v>
      </c>
    </row>
    <row r="41" spans="1:9" x14ac:dyDescent="0.25">
      <c r="A41" s="2" t="s">
        <v>141</v>
      </c>
      <c r="B41" s="2" t="s">
        <v>13</v>
      </c>
      <c r="C41" s="2" t="s">
        <v>142</v>
      </c>
      <c r="D41" s="2" t="s">
        <v>123</v>
      </c>
      <c r="E41" s="2" t="s">
        <v>143</v>
      </c>
      <c r="F41" s="1">
        <v>3</v>
      </c>
      <c r="G41" s="5">
        <v>2500</v>
      </c>
      <c r="H41" s="5">
        <v>2500</v>
      </c>
    </row>
    <row r="42" spans="1:9" x14ac:dyDescent="0.25">
      <c r="A42" s="2" t="s">
        <v>144</v>
      </c>
      <c r="B42" s="2" t="s">
        <v>13</v>
      </c>
      <c r="C42" s="2" t="s">
        <v>145</v>
      </c>
      <c r="D42" s="2" t="s">
        <v>123</v>
      </c>
      <c r="E42" s="2" t="s">
        <v>146</v>
      </c>
      <c r="F42" s="1">
        <v>6</v>
      </c>
      <c r="G42" s="5">
        <v>2800</v>
      </c>
      <c r="H42" s="5">
        <v>2800</v>
      </c>
    </row>
    <row r="43" spans="1:9" x14ac:dyDescent="0.25">
      <c r="A43" s="2" t="s">
        <v>147</v>
      </c>
      <c r="B43" s="2" t="s">
        <v>13</v>
      </c>
      <c r="C43" s="2" t="s">
        <v>148</v>
      </c>
      <c r="D43" s="2" t="s">
        <v>123</v>
      </c>
      <c r="E43" s="2" t="s">
        <v>149</v>
      </c>
      <c r="F43" s="1">
        <v>2</v>
      </c>
      <c r="G43" s="5">
        <v>2500</v>
      </c>
      <c r="H43" s="5">
        <v>2500</v>
      </c>
    </row>
    <row r="44" spans="1:9" x14ac:dyDescent="0.25">
      <c r="A44" s="2" t="s">
        <v>150</v>
      </c>
      <c r="B44" s="2" t="s">
        <v>13</v>
      </c>
      <c r="C44" s="2" t="s">
        <v>151</v>
      </c>
      <c r="D44" s="2" t="s">
        <v>123</v>
      </c>
      <c r="E44" s="2" t="s">
        <v>152</v>
      </c>
      <c r="F44" s="1">
        <v>2</v>
      </c>
      <c r="G44" s="5">
        <v>2800</v>
      </c>
      <c r="H44" s="5">
        <v>2500</v>
      </c>
    </row>
    <row r="45" spans="1:9" x14ac:dyDescent="0.25">
      <c r="A45" s="2" t="s">
        <v>153</v>
      </c>
      <c r="B45" s="2" t="s">
        <v>9</v>
      </c>
      <c r="C45" s="2" t="s">
        <v>154</v>
      </c>
      <c r="D45" s="2" t="s">
        <v>155</v>
      </c>
      <c r="E45" s="2" t="s">
        <v>153</v>
      </c>
      <c r="F45" s="1">
        <v>1</v>
      </c>
      <c r="G45" s="5">
        <v>46000</v>
      </c>
      <c r="H45" s="5">
        <v>46000</v>
      </c>
    </row>
    <row r="46" spans="1:9" s="13" customFormat="1" x14ac:dyDescent="0.25">
      <c r="A46" s="11" t="s">
        <v>71</v>
      </c>
      <c r="B46" s="11" t="s">
        <v>68</v>
      </c>
      <c r="C46" s="11" t="s">
        <v>156</v>
      </c>
      <c r="D46" s="11" t="s">
        <v>70</v>
      </c>
      <c r="E46" s="11" t="s">
        <v>71</v>
      </c>
      <c r="F46" s="12">
        <v>1</v>
      </c>
      <c r="G46" s="18">
        <v>5500</v>
      </c>
      <c r="H46" s="18">
        <v>7400</v>
      </c>
    </row>
    <row r="47" spans="1:9" s="22" customFormat="1" x14ac:dyDescent="0.25">
      <c r="A47" s="19" t="s">
        <v>157</v>
      </c>
      <c r="B47" s="19" t="s">
        <v>158</v>
      </c>
      <c r="C47" s="19" t="s">
        <v>159</v>
      </c>
      <c r="D47" s="19" t="s">
        <v>160</v>
      </c>
      <c r="E47" s="19" t="s">
        <v>157</v>
      </c>
      <c r="F47" s="20">
        <v>1</v>
      </c>
      <c r="G47" s="21">
        <v>13000</v>
      </c>
      <c r="H47" s="21">
        <v>26000</v>
      </c>
    </row>
    <row r="48" spans="1:9" x14ac:dyDescent="0.25">
      <c r="A48" s="2" t="s">
        <v>161</v>
      </c>
      <c r="B48" s="2" t="s">
        <v>162</v>
      </c>
      <c r="C48" s="2" t="s">
        <v>163</v>
      </c>
      <c r="D48" s="2" t="s">
        <v>164</v>
      </c>
      <c r="E48" s="2" t="s">
        <v>165</v>
      </c>
      <c r="F48" s="1">
        <v>2</v>
      </c>
      <c r="G48" s="5">
        <v>90000</v>
      </c>
      <c r="H48" s="5">
        <v>90000</v>
      </c>
      <c r="I48" s="6" t="s">
        <v>183</v>
      </c>
    </row>
    <row r="49" spans="1:8" x14ac:dyDescent="0.25">
      <c r="A49" s="2" t="s">
        <v>166</v>
      </c>
      <c r="B49" s="2" t="s">
        <v>167</v>
      </c>
      <c r="C49" s="2" t="s">
        <v>168</v>
      </c>
      <c r="D49" s="2" t="s">
        <v>169</v>
      </c>
      <c r="E49" s="2" t="s">
        <v>170</v>
      </c>
      <c r="F49" s="1">
        <v>1</v>
      </c>
      <c r="G49" s="5">
        <v>13000</v>
      </c>
      <c r="H49" s="5">
        <v>26000</v>
      </c>
    </row>
    <row r="50" spans="1:8" x14ac:dyDescent="0.25">
      <c r="A50" s="2" t="s">
        <v>171</v>
      </c>
      <c r="B50" s="2" t="s">
        <v>172</v>
      </c>
      <c r="C50" s="2" t="s">
        <v>173</v>
      </c>
      <c r="D50" s="2" t="s">
        <v>174</v>
      </c>
      <c r="E50" s="2" t="s">
        <v>175</v>
      </c>
      <c r="F50" s="1">
        <v>1</v>
      </c>
      <c r="G50" s="5">
        <v>4000</v>
      </c>
      <c r="H50" s="5">
        <v>8000</v>
      </c>
    </row>
    <row r="51" spans="1:8" x14ac:dyDescent="0.25">
      <c r="A51" s="17" t="s">
        <v>176</v>
      </c>
      <c r="H51" s="5">
        <v>72000</v>
      </c>
    </row>
    <row r="52" spans="1:8" s="15" customFormat="1" x14ac:dyDescent="0.25">
      <c r="A52" s="14" t="s">
        <v>178</v>
      </c>
      <c r="H52" s="16">
        <v>164000</v>
      </c>
    </row>
    <row r="53" spans="1:8" x14ac:dyDescent="0.25">
      <c r="A53" s="17" t="s">
        <v>179</v>
      </c>
      <c r="H53" s="5">
        <v>100000</v>
      </c>
    </row>
    <row r="54" spans="1:8" x14ac:dyDescent="0.25">
      <c r="G54" s="5"/>
      <c r="H54" s="5">
        <f>SUM(H2:H53)</f>
        <v>744600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DSACH</vt:lpstr>
      <vt:lpstr>DSACH!Print_Titles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Son</dc:creator>
  <cp:lastModifiedBy>Dong Son</cp:lastModifiedBy>
  <dcterms:created xsi:type="dcterms:W3CDTF">2026-01-29T13:17:46Z</dcterms:created>
  <dcterms:modified xsi:type="dcterms:W3CDTF">2026-01-30T15:14:21Z</dcterms:modified>
</cp:coreProperties>
</file>